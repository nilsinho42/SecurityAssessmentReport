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son\Desktop\"/>
    </mc:Choice>
  </mc:AlternateContent>
  <xr:revisionPtr revIDLastSave="0" documentId="13_ncr:1_{698CD22A-EE5D-476B-B004-91201A6A43CF}" xr6:coauthVersionLast="36" xr6:coauthVersionMax="36" xr10:uidLastSave="{00000000-0000-0000-0000-000000000000}"/>
  <bookViews>
    <workbookView xWindow="0" yWindow="0" windowWidth="28800" windowHeight="11325" xr2:uid="{BF33C6FD-86D6-414D-9150-845DB25FF7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7" i="1" s="1"/>
  <c r="B14" i="1"/>
  <c r="B15" i="1"/>
  <c r="B16" i="1"/>
</calcChain>
</file>

<file path=xl/sharedStrings.xml><?xml version="1.0" encoding="utf-8"?>
<sst xmlns="http://schemas.openxmlformats.org/spreadsheetml/2006/main" count="36" uniqueCount="27">
  <si>
    <t>Apache 2.2.8. Vulnerabilidades</t>
  </si>
  <si>
    <t>important</t>
  </si>
  <si>
    <t>moderate</t>
  </si>
  <si>
    <t>low</t>
  </si>
  <si>
    <t>n/a</t>
  </si>
  <si>
    <t>Nível</t>
  </si>
  <si>
    <t>Descrição</t>
  </si>
  <si>
    <t>CVE</t>
  </si>
  <si>
    <t>total</t>
  </si>
  <si>
    <t xml:space="preserve"> mod_proxy_wstunnel tunneling of non Upgraded connections </t>
  </si>
  <si>
    <t xml:space="preserve"> Improper Handling of Insufficient Privileges </t>
  </si>
  <si>
    <t xml:space="preserve"> mod_proxy_http NULL pointer dereference </t>
  </si>
  <si>
    <t xml:space="preserve"> mod_auth_digest possible stack overflow by one nul byte </t>
  </si>
  <si>
    <t xml:space="preserve"> mod_session NULL pointer dereference </t>
  </si>
  <si>
    <t xml:space="preserve"> mod_session response handling heap overflow </t>
  </si>
  <si>
    <t xml:space="preserve"> Unexpected URL matching with 'MergeSlashes OFF' </t>
  </si>
  <si>
    <t xml:space="preserve"> mod_rewrite CWE-601 open redirect </t>
  </si>
  <si>
    <t xml:space="preserve"> mod_proxy_ftp use of uninitialized value </t>
  </si>
  <si>
    <t>CVE-2019-17567</t>
  </si>
  <si>
    <t>CVE-2020-13938</t>
  </si>
  <si>
    <t>CVE-2020-13950</t>
  </si>
  <si>
    <t>CVE-2020-35452</t>
  </si>
  <si>
    <t>CVE-2021-26690</t>
  </si>
  <si>
    <t>CVE-2021-26691</t>
  </si>
  <si>
    <t>CVE-2021-30641</t>
  </si>
  <si>
    <t>CVE-2020-1927</t>
  </si>
  <si>
    <t>CVE-2020-1934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</si>
</sst>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9" fontId="0" fillId="0" borderId="0" xfId="1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das Vulnerabilidades do Apache 2.4.41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Planilha1!$A$13:$A$16</c:f>
              <c:strCache>
                <c:ptCount val="4"/>
                <c:pt idx="0">
                  <c:v>important</c:v>
                </c:pt>
                <c:pt idx="1">
                  <c:v>moderate</c:v>
                </c:pt>
                <c:pt idx="2">
                  <c:v>low</c:v>
                </c:pt>
                <c:pt idx="3">
                  <c:v>n/a</c:v>
                </c:pt>
              </c:strCache>
            </c:strRef>
          </c:cat>
          <c:val>
            <c:numRef>
              <c:f>Planilha1!$B$13:$B$16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D-4674-9A2E-9939F70D96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5103631"/>
        <c:axId val="439190975"/>
      </c:barChart>
      <c:catAx>
        <c:axId val="43510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190975"/>
        <c:crosses val="autoZero"/>
        <c:auto val="1"/>
        <c:lblAlgn val="ctr"/>
        <c:lblOffset val="100"/>
        <c:noMultiLvlLbl val="0"/>
      </c:catAx>
      <c:valAx>
        <c:axId val="43919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510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5</xdr:row>
      <xdr:rowOff>76200</xdr:rowOff>
    </xdr:from>
    <xdr:to>
      <xdr:col>10</xdr:col>
      <xdr:colOff>371475</xdr:colOff>
      <xdr:row>18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ECE340-5876-4789-A358-AF9F3E931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2C7B-11BE-4CAF-BAD0-7F976EAB9584}">
  <dimension ref="A1:C17"/>
  <sheetViews>
    <sheetView tabSelected="1" workbookViewId="0">
      <selection activeCell="G27" sqref="G27"/>
    </sheetView>
  </sheetViews>
  <sheetFormatPr defaultRowHeight="15" x14ac:dyDescent="0.25"/>
  <cols>
    <col min="1" max="1" width="9.85546875" bestFit="1" customWidth="1"/>
    <col min="2" max="2" width="58" bestFit="1" customWidth="1"/>
    <col min="3" max="3" width="15" bestFit="1" customWidth="1"/>
  </cols>
  <sheetData>
    <row r="1" spans="1:3" x14ac:dyDescent="0.25">
      <c r="A1" s="4" t="s">
        <v>0</v>
      </c>
      <c r="B1" s="5"/>
      <c r="C1" s="6"/>
    </row>
    <row r="2" spans="1:3" x14ac:dyDescent="0.25">
      <c r="A2" s="2" t="s">
        <v>5</v>
      </c>
      <c r="B2" s="2" t="s">
        <v>6</v>
      </c>
      <c r="C2" s="2" t="s">
        <v>7</v>
      </c>
    </row>
    <row r="3" spans="1:3" x14ac:dyDescent="0.25">
      <c r="A3" s="1" t="s">
        <v>2</v>
      </c>
      <c r="B3" s="1" t="s">
        <v>9</v>
      </c>
      <c r="C3" s="1" t="s">
        <v>18</v>
      </c>
    </row>
    <row r="4" spans="1:3" x14ac:dyDescent="0.25">
      <c r="A4" s="1" t="s">
        <v>2</v>
      </c>
      <c r="B4" s="1" t="s">
        <v>10</v>
      </c>
      <c r="C4" s="1" t="s">
        <v>19</v>
      </c>
    </row>
    <row r="5" spans="1:3" x14ac:dyDescent="0.25">
      <c r="A5" s="1" t="s">
        <v>3</v>
      </c>
      <c r="B5" s="1" t="s">
        <v>11</v>
      </c>
      <c r="C5" s="1" t="s">
        <v>20</v>
      </c>
    </row>
    <row r="6" spans="1:3" x14ac:dyDescent="0.25">
      <c r="A6" s="1" t="s">
        <v>3</v>
      </c>
      <c r="B6" s="1" t="s">
        <v>12</v>
      </c>
      <c r="C6" s="1" t="s">
        <v>21</v>
      </c>
    </row>
    <row r="7" spans="1:3" x14ac:dyDescent="0.25">
      <c r="A7" s="1" t="s">
        <v>3</v>
      </c>
      <c r="B7" s="1" t="s">
        <v>13</v>
      </c>
      <c r="C7" s="1" t="s">
        <v>22</v>
      </c>
    </row>
    <row r="8" spans="1:3" x14ac:dyDescent="0.25">
      <c r="A8" s="1" t="s">
        <v>3</v>
      </c>
      <c r="B8" s="1" t="s">
        <v>14</v>
      </c>
      <c r="C8" s="1" t="s">
        <v>23</v>
      </c>
    </row>
    <row r="9" spans="1:3" x14ac:dyDescent="0.25">
      <c r="A9" s="1" t="s">
        <v>2</v>
      </c>
      <c r="B9" s="1" t="s">
        <v>15</v>
      </c>
      <c r="C9" s="1" t="s">
        <v>24</v>
      </c>
    </row>
    <row r="10" spans="1:3" x14ac:dyDescent="0.25">
      <c r="A10" s="1" t="s">
        <v>3</v>
      </c>
      <c r="B10" s="1" t="s">
        <v>16</v>
      </c>
      <c r="C10" s="1" t="s">
        <v>25</v>
      </c>
    </row>
    <row r="11" spans="1:3" x14ac:dyDescent="0.25">
      <c r="A11" s="1" t="s">
        <v>3</v>
      </c>
      <c r="B11" s="1" t="s">
        <v>17</v>
      </c>
      <c r="C11" s="1" t="s">
        <v>26</v>
      </c>
    </row>
    <row r="13" spans="1:3" x14ac:dyDescent="0.25">
      <c r="A13" s="1" t="s">
        <v>1</v>
      </c>
      <c r="B13" s="1">
        <f>COUNTIF(A$3:A$11,A13)</f>
        <v>0</v>
      </c>
      <c r="C13" s="3"/>
    </row>
    <row r="14" spans="1:3" x14ac:dyDescent="0.25">
      <c r="A14" s="1" t="s">
        <v>2</v>
      </c>
      <c r="B14" s="1">
        <f>COUNTIF(A$3:A$11,A14)</f>
        <v>3</v>
      </c>
      <c r="C14" s="3"/>
    </row>
    <row r="15" spans="1:3" x14ac:dyDescent="0.25">
      <c r="A15" s="1" t="s">
        <v>3</v>
      </c>
      <c r="B15" s="1">
        <f>COUNTIF(A$3:A$11,A15)</f>
        <v>6</v>
      </c>
      <c r="C15" s="3"/>
    </row>
    <row r="16" spans="1:3" x14ac:dyDescent="0.25">
      <c r="A16" s="1" t="s">
        <v>4</v>
      </c>
      <c r="B16" s="1">
        <f>COUNTIF(A$3:A$11,A16)</f>
        <v>0</v>
      </c>
      <c r="C16" s="3"/>
    </row>
    <row r="17" spans="1:2" x14ac:dyDescent="0.25">
      <c r="A17" s="1" t="s">
        <v>8</v>
      </c>
      <c r="B17" s="1">
        <f>SUM(B13:B16)</f>
        <v>9</v>
      </c>
    </row>
  </sheetData>
  <sortState ref="A2:A11">
    <sortCondition ref="A2"/>
  </sortState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</dc:creator>
  <cp:lastModifiedBy>Nilson</cp:lastModifiedBy>
  <dcterms:created xsi:type="dcterms:W3CDTF">2021-09-07T20:13:27Z</dcterms:created>
  <dcterms:modified xsi:type="dcterms:W3CDTF">2021-09-07T20:45:26Z</dcterms:modified>
</cp:coreProperties>
</file>